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數據分析科\鷹眼\workspace\code\"/>
    </mc:Choice>
  </mc:AlternateContent>
  <xr:revisionPtr revIDLastSave="0" documentId="13_ncr:1_{0BF11FAC-9FC0-4D41-8F51-B4E7268B8E6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low 平均交易時間差" sheetId="1" r:id="rId1"/>
    <sheet name="約轉最後建檔日及交易日時間差" sheetId="2" r:id="rId2"/>
    <sheet name="開戶至交易日數" sheetId="3" r:id="rId3"/>
    <sheet name="交易通路" sheetId="4" r:id="rId4"/>
    <sheet name="單筆交易餘額占比" sheetId="5" r:id="rId5"/>
    <sheet name="帳戶餘額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2" l="1"/>
  <c r="B18" i="2"/>
  <c r="B17" i="2"/>
</calcChain>
</file>

<file path=xl/sharedStrings.xml><?xml version="1.0" encoding="utf-8"?>
<sst xmlns="http://schemas.openxmlformats.org/spreadsheetml/2006/main" count="112" uniqueCount="72">
  <si>
    <t>Flow 平均交易時間差</t>
  </si>
  <si>
    <t>SHAP_Min</t>
  </si>
  <si>
    <t>SHAP_Max</t>
  </si>
  <si>
    <t>Feature_Mean</t>
  </si>
  <si>
    <t>SHAP_Mean</t>
  </si>
  <si>
    <t>SHAP_Median</t>
  </si>
  <si>
    <t>SHAP_Std</t>
  </si>
  <si>
    <t>Fraud_Prob</t>
  </si>
  <si>
    <t>Cnt</t>
  </si>
  <si>
    <t>(-0.001, 3174.065]</t>
  </si>
  <si>
    <t>(3174.065, 10515.7]</t>
  </si>
  <si>
    <t>(10515.7, 19665.252]</t>
  </si>
  <si>
    <t>(19665.252, 33195.0]</t>
  </si>
  <si>
    <t>(33195.0, 48147.33]</t>
  </si>
  <si>
    <t>(48147.33, 68084.2]</t>
  </si>
  <si>
    <t>(68084.2, 96435.9]</t>
  </si>
  <si>
    <t>(96435.9, 142352.8]</t>
  </si>
  <si>
    <t>(142352.8, 229504.71]</t>
  </si>
  <si>
    <t>(229504.71, 3674665.5]</t>
  </si>
  <si>
    <t>約轉最後建檔日及交易日時間差</t>
  </si>
  <si>
    <t>(-0.001, 343.0]</t>
  </si>
  <si>
    <t>(343.0, 486.2]</t>
  </si>
  <si>
    <t>(486.2, 1297.0]</t>
  </si>
  <si>
    <t>(1297.0, 2015.0]</t>
  </si>
  <si>
    <t>(2015.0, 3044.0]</t>
  </si>
  <si>
    <t>(3044.0, 6074.0]</t>
  </si>
  <si>
    <t>(6074.0, 6772.7]</t>
  </si>
  <si>
    <t>(6772.7, 6963.0]</t>
  </si>
  <si>
    <t>(6963.0, 7111.0]</t>
  </si>
  <si>
    <t>(7111.0, 13495.0]</t>
  </si>
  <si>
    <t>開戶至交易日數</t>
  </si>
  <si>
    <t>(-0.001, 353.0]</t>
  </si>
  <si>
    <t>(353.0, 708.0]</t>
  </si>
  <si>
    <t>(708.0, 1406.0]</t>
  </si>
  <si>
    <t>(1406.0, 2717.0]</t>
  </si>
  <si>
    <t>(2717.0, 3209.5]</t>
  </si>
  <si>
    <t>(3209.5, 6598.0]</t>
  </si>
  <si>
    <t>(6598.0, 6811.7]</t>
  </si>
  <si>
    <t>(6811.7, 6982.0]</t>
  </si>
  <si>
    <t>(6982.0, 7131.0]</t>
  </si>
  <si>
    <t>(7131.0, 13976.0]</t>
  </si>
  <si>
    <t>交易通路</t>
  </si>
  <si>
    <t>(-1.001, 6.0]</t>
  </si>
  <si>
    <t>(6.0, 7.0]</t>
  </si>
  <si>
    <t>單筆交易餘額占比</t>
  </si>
  <si>
    <t>(0.179, 0.316]</t>
  </si>
  <si>
    <t>(0.316, 0.478]</t>
  </si>
  <si>
    <t>(0.478, 0.667]</t>
  </si>
  <si>
    <t>(0.667, 0.879]</t>
  </si>
  <si>
    <t>(0.879, 0.976]</t>
  </si>
  <si>
    <t>(0.976, 1.17]</t>
  </si>
  <si>
    <t>(1.17, 9.289]</t>
  </si>
  <si>
    <t>(9.289, 66.767]</t>
  </si>
  <si>
    <t>(66.767, 2000015.0]</t>
  </si>
  <si>
    <t>帳戶餘額</t>
  </si>
  <si>
    <t>(-2916136.001, 171.0]</t>
  </si>
  <si>
    <t>(171.0, 1000.0]</t>
  </si>
  <si>
    <t>(1000.0, 2500.0]</t>
  </si>
  <si>
    <t>(2500.0, 5195.8]</t>
  </si>
  <si>
    <t>(5195.8, 10576.0]</t>
  </si>
  <si>
    <t>(10576.0, 20050.4]</t>
  </si>
  <si>
    <t>(20050.4, 30449.0]</t>
  </si>
  <si>
    <t>(30449.0, 49904.2]</t>
  </si>
  <si>
    <t>(49904.2, 80618.4]</t>
  </si>
  <si>
    <t>(80618.4, 5014688.0]</t>
  </si>
  <si>
    <t>(-0.01509, 0.179]</t>
    <phoneticPr fontId="1" type="noConversion"/>
  </si>
  <si>
    <t>集中在通路 網路銀行,跨FEP ATM交易</t>
    <phoneticPr fontId="1" type="noConversion"/>
  </si>
  <si>
    <t>平均交易時間差距越小，平均SHAP值貢獻模型比率越高</t>
    <phoneticPr fontId="1" type="noConversion"/>
  </si>
  <si>
    <t>帳戶開戶超過6500天以上，平均SHAP值明顯轉正，代表模型對該類型提高其詐騙風險評分</t>
    <phoneticPr fontId="1" type="noConversion"/>
  </si>
  <si>
    <t>交易金額佔餘額比率越高，模型給予較高的詐騙風險評分，配合帳戶餘額資料可進一步分析得到，餘額越小的佔比通常也較高</t>
    <phoneticPr fontId="1" type="noConversion"/>
  </si>
  <si>
    <t>帳戶餘額越小，警示戶SHAP值越高，代表模型對該類給予較高的詐騙風險評分，因此單筆交易餘額比例亦越高</t>
    <phoneticPr fontId="1" type="noConversion"/>
  </si>
  <si>
    <t>從qcut資料顯示,該特徵與模型風險呈現非線性關係，可區分兩部分，其中一部分在33分鐘以下；另一區間在1小時40分以上。模型會給予較高的詐騙風險評分SHAP值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</si>
</sst>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0.000000"/>
    <numFmt numFmtId="179" formatCode="0.00000"/>
    <numFmt numFmtId="180" formatCode="0.0000"/>
    <numFmt numFmtId="183" formatCode="h:mm:ss;@"/>
  </numFmts>
  <fonts count="5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</font>
    <font>
      <sz val="11"/>
      <color rgb="FFFF0000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2" borderId="0" xfId="0" applyFont="1" applyFill="1"/>
    <xf numFmtId="178" fontId="4" fillId="2" borderId="0" xfId="0" applyNumberFormat="1" applyFont="1" applyFill="1"/>
    <xf numFmtId="180" fontId="0" fillId="2" borderId="0" xfId="0" applyNumberFormat="1" applyFill="1"/>
    <xf numFmtId="180" fontId="3" fillId="0" borderId="0" xfId="0" applyNumberFormat="1" applyFont="1"/>
    <xf numFmtId="183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workbookViewId="0">
      <selection activeCell="A15" sqref="A15"/>
    </sheetView>
  </sheetViews>
  <sheetFormatPr defaultRowHeight="15.75"/>
  <cols>
    <col min="1" max="1" width="22.85546875" bestFit="1" customWidth="1"/>
    <col min="2" max="2" width="11.42578125" bestFit="1" customWidth="1"/>
    <col min="3" max="3" width="11.7109375" bestFit="1" customWidth="1"/>
    <col min="4" max="4" width="13.7109375" bestFit="1" customWidth="1"/>
    <col min="5" max="5" width="12.7109375" bestFit="1" customWidth="1"/>
    <col min="6" max="6" width="14.42578125" bestFit="1" customWidth="1"/>
    <col min="7" max="7" width="10.5703125" bestFit="1" customWidth="1"/>
    <col min="8" max="8" width="11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3">
        <v>0.5429999828338623</v>
      </c>
      <c r="C2" s="3">
        <v>3.1586000919342041</v>
      </c>
      <c r="D2" s="3">
        <v>1724.1186</v>
      </c>
      <c r="E2" s="9">
        <v>1.866400003433228</v>
      </c>
      <c r="F2" s="9">
        <v>1.8314000368118291</v>
      </c>
      <c r="G2" s="3">
        <v>0.45059999823570251</v>
      </c>
      <c r="H2" s="3">
        <v>0.87629997730255127</v>
      </c>
      <c r="I2">
        <v>1411</v>
      </c>
    </row>
    <row r="3" spans="1:9">
      <c r="A3" t="s">
        <v>10</v>
      </c>
      <c r="B3" s="3">
        <v>0.54309999942779541</v>
      </c>
      <c r="C3" s="3">
        <v>3.0394999980926509</v>
      </c>
      <c r="D3" s="3">
        <v>6133.8837999999996</v>
      </c>
      <c r="E3" s="9">
        <v>1.564800024032593</v>
      </c>
      <c r="F3" s="9">
        <v>1.570099949836731</v>
      </c>
      <c r="G3" s="3">
        <v>0.4392000138759613</v>
      </c>
      <c r="H3" s="3">
        <v>0.86909997463226318</v>
      </c>
      <c r="I3">
        <v>1410</v>
      </c>
    </row>
    <row r="4" spans="1:9">
      <c r="A4" t="s">
        <v>11</v>
      </c>
      <c r="B4" s="3">
        <v>0.30950000882148743</v>
      </c>
      <c r="C4" s="3">
        <v>2.4409999847412109</v>
      </c>
      <c r="D4" s="3">
        <v>15010.5684</v>
      </c>
      <c r="E4" s="9">
        <v>1.428300023078918</v>
      </c>
      <c r="F4" s="9">
        <v>1.407999992370605</v>
      </c>
      <c r="G4" s="3">
        <v>0.34950000047683721</v>
      </c>
      <c r="H4" s="3">
        <v>0.87029999494552612</v>
      </c>
      <c r="I4">
        <v>1410</v>
      </c>
    </row>
    <row r="5" spans="1:9">
      <c r="A5" t="s">
        <v>12</v>
      </c>
      <c r="B5" s="3">
        <v>0.14249999821186071</v>
      </c>
      <c r="C5" s="3">
        <v>1.835399985313416</v>
      </c>
      <c r="D5" s="3">
        <v>25970.134099999999</v>
      </c>
      <c r="E5" s="9">
        <v>0.86260002851486206</v>
      </c>
      <c r="F5" s="9">
        <v>0.83370000123977661</v>
      </c>
      <c r="G5" s="3">
        <v>0.27160000801086431</v>
      </c>
      <c r="H5" s="3">
        <v>0.86640000343322754</v>
      </c>
      <c r="I5">
        <v>1411</v>
      </c>
    </row>
    <row r="6" spans="1:9">
      <c r="A6" t="s">
        <v>13</v>
      </c>
      <c r="B6" s="3">
        <v>0.10920000076293949</v>
      </c>
      <c r="C6" s="3">
        <v>1.6698000431060791</v>
      </c>
      <c r="D6" s="3">
        <v>41165.212800000001</v>
      </c>
      <c r="E6" s="9">
        <v>0.71429997682571411</v>
      </c>
      <c r="F6" s="9">
        <v>0.70819997787475586</v>
      </c>
      <c r="G6" s="3">
        <v>0.18760000169277191</v>
      </c>
      <c r="H6" s="3">
        <v>0.86570000648498535</v>
      </c>
      <c r="I6">
        <v>1410</v>
      </c>
    </row>
    <row r="7" spans="1:9">
      <c r="A7" t="s">
        <v>14</v>
      </c>
      <c r="B7" s="3">
        <v>-0.15839999914169309</v>
      </c>
      <c r="C7" s="3">
        <v>1.599900007247925</v>
      </c>
      <c r="D7" s="3">
        <v>57770.453800000003</v>
      </c>
      <c r="E7" s="9">
        <v>0.67320001125335693</v>
      </c>
      <c r="F7" s="9">
        <v>0.68910002708435059</v>
      </c>
      <c r="G7" s="3">
        <v>0.25229999423027039</v>
      </c>
      <c r="H7" s="3">
        <v>0.8619999885559082</v>
      </c>
      <c r="I7">
        <v>1411</v>
      </c>
    </row>
    <row r="8" spans="1:9">
      <c r="A8" t="s">
        <v>15</v>
      </c>
      <c r="B8" s="3">
        <v>-0.51160001754760742</v>
      </c>
      <c r="C8" s="3">
        <v>1.2101999521255491</v>
      </c>
      <c r="D8" s="3">
        <v>81831.008199999997</v>
      </c>
      <c r="E8" s="9">
        <v>0.27559998631477362</v>
      </c>
      <c r="F8" s="9">
        <v>0.28679999709129328</v>
      </c>
      <c r="G8" s="3">
        <v>0.23260000348091131</v>
      </c>
      <c r="H8" s="3">
        <v>0.86330002546310425</v>
      </c>
      <c r="I8">
        <v>1409</v>
      </c>
    </row>
    <row r="9" spans="1:9">
      <c r="A9" t="s">
        <v>16</v>
      </c>
      <c r="B9" s="3">
        <v>-0.88289999961853027</v>
      </c>
      <c r="C9" s="3">
        <v>1.0523999929428101</v>
      </c>
      <c r="D9" s="3">
        <v>115172.5554</v>
      </c>
      <c r="E9" s="9">
        <v>0.1124999970197678</v>
      </c>
      <c r="F9" s="9">
        <v>0.1242000013589859</v>
      </c>
      <c r="G9" s="3">
        <v>0.34419998526573181</v>
      </c>
      <c r="H9" s="3">
        <v>0.85920000076293945</v>
      </c>
      <c r="I9">
        <v>1409</v>
      </c>
    </row>
    <row r="10" spans="1:9">
      <c r="A10" t="s">
        <v>17</v>
      </c>
      <c r="B10" s="3">
        <v>-0.99459999799728394</v>
      </c>
      <c r="C10" s="3">
        <v>0.60110002756118774</v>
      </c>
      <c r="D10" s="3">
        <v>182265.60250000001</v>
      </c>
      <c r="E10" s="3">
        <v>-0.27439999580383301</v>
      </c>
      <c r="F10" s="3">
        <v>-0.28859999775886541</v>
      </c>
      <c r="G10" s="3">
        <v>0.25690001249313349</v>
      </c>
      <c r="H10" s="3">
        <v>0.85820001363754272</v>
      </c>
      <c r="I10">
        <v>1412</v>
      </c>
    </row>
    <row r="11" spans="1:9">
      <c r="A11" t="s">
        <v>18</v>
      </c>
      <c r="B11" s="3">
        <v>-2.1796000003814702</v>
      </c>
      <c r="C11" s="3">
        <v>0.49889999628067022</v>
      </c>
      <c r="D11" s="3">
        <v>454175.21039999998</v>
      </c>
      <c r="E11" s="3">
        <v>-0.76349997520446777</v>
      </c>
      <c r="F11" s="3">
        <v>-0.74269998073577881</v>
      </c>
      <c r="G11" s="3">
        <v>0.398499995470047</v>
      </c>
      <c r="H11" s="3">
        <v>0.85879999399185181</v>
      </c>
      <c r="I11">
        <v>1409</v>
      </c>
    </row>
    <row r="15" spans="1:9">
      <c r="A15" t="s">
        <v>67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tabSelected="1" workbookViewId="0">
      <selection activeCell="L19" sqref="L19"/>
    </sheetView>
  </sheetViews>
  <sheetFormatPr defaultRowHeight="15.75"/>
  <cols>
    <col min="1" max="1" width="34.42578125" bestFit="1" customWidth="1"/>
    <col min="2" max="2" width="14.140625" bestFit="1" customWidth="1"/>
    <col min="3" max="3" width="13.140625" bestFit="1" customWidth="1"/>
    <col min="4" max="4" width="14.85546875" bestFit="1" customWidth="1"/>
    <col min="5" max="5" width="12.7109375" bestFit="1" customWidth="1"/>
    <col min="6" max="6" width="14.42578125" bestFit="1" customWidth="1"/>
  </cols>
  <sheetData>
    <row r="1" spans="1:9">
      <c r="A1" t="s">
        <v>19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5" t="s">
        <v>20</v>
      </c>
      <c r="B2">
        <v>-0.5745999813079834</v>
      </c>
      <c r="C2" s="3">
        <v>1.283100008964539</v>
      </c>
      <c r="D2" s="3">
        <v>203.8734</v>
      </c>
      <c r="E2" s="10">
        <v>0.48879998922348022</v>
      </c>
      <c r="F2" s="3">
        <v>0.49709999561309809</v>
      </c>
      <c r="G2">
        <v>0.36579999327659612</v>
      </c>
      <c r="H2">
        <v>0.86140000820159912</v>
      </c>
      <c r="I2">
        <v>1414</v>
      </c>
    </row>
    <row r="3" spans="1:9">
      <c r="A3" s="5" t="s">
        <v>21</v>
      </c>
      <c r="B3">
        <v>-0.17520000040531161</v>
      </c>
      <c r="C3" s="3">
        <v>1.302000045776367</v>
      </c>
      <c r="D3" s="3">
        <v>388.78960000000001</v>
      </c>
      <c r="E3" s="10">
        <v>0.68550002574920654</v>
      </c>
      <c r="F3" s="3">
        <v>0.74430000782012939</v>
      </c>
      <c r="G3">
        <v>0.29289999604225159</v>
      </c>
      <c r="H3">
        <v>0.8618999719619751</v>
      </c>
      <c r="I3">
        <v>1407</v>
      </c>
    </row>
    <row r="4" spans="1:9">
      <c r="A4" s="5" t="s">
        <v>22</v>
      </c>
      <c r="B4">
        <v>-0.7214999794960022</v>
      </c>
      <c r="C4" s="3">
        <v>1.0917999744415281</v>
      </c>
      <c r="D4" s="3">
        <v>909.99220000000003</v>
      </c>
      <c r="E4" s="10">
        <v>0.19580000638961789</v>
      </c>
      <c r="F4" s="3">
        <v>0.23459999263286591</v>
      </c>
      <c r="G4">
        <v>0.34139999747276312</v>
      </c>
      <c r="H4">
        <v>0.86949998140335083</v>
      </c>
      <c r="I4">
        <v>1412</v>
      </c>
    </row>
    <row r="5" spans="1:9">
      <c r="A5" s="5" t="s">
        <v>23</v>
      </c>
      <c r="B5">
        <v>-0.8554999828338623</v>
      </c>
      <c r="C5" s="3">
        <v>1.454800009727478</v>
      </c>
      <c r="D5" s="3">
        <v>1530.6104</v>
      </c>
      <c r="E5" s="10">
        <v>0.30739998817443848</v>
      </c>
      <c r="F5" s="3">
        <v>0.32190001010894781</v>
      </c>
      <c r="G5">
        <v>0.44299998879432678</v>
      </c>
      <c r="H5">
        <v>0.86589998006820679</v>
      </c>
      <c r="I5">
        <v>1409</v>
      </c>
    </row>
    <row r="6" spans="1:9">
      <c r="A6" t="s">
        <v>24</v>
      </c>
      <c r="B6">
        <v>-0.83980000019073486</v>
      </c>
      <c r="C6" s="3">
        <v>0.36079999804496771</v>
      </c>
      <c r="D6" s="3">
        <v>2793.0255000000002</v>
      </c>
      <c r="E6" s="3">
        <v>-0.22930000722408289</v>
      </c>
      <c r="F6" s="3">
        <v>-0.21680000424385071</v>
      </c>
      <c r="G6">
        <v>0.23379999399185181</v>
      </c>
      <c r="H6">
        <v>0.8628000020980835</v>
      </c>
      <c r="I6">
        <v>1410</v>
      </c>
    </row>
    <row r="7" spans="1:9">
      <c r="A7" t="s">
        <v>25</v>
      </c>
      <c r="B7">
        <v>-1.129999995231628</v>
      </c>
      <c r="C7" s="3">
        <v>0.26949998736381531</v>
      </c>
      <c r="D7" s="3">
        <v>4141.2106000000003</v>
      </c>
      <c r="E7" s="3">
        <v>-0.44800001382827759</v>
      </c>
      <c r="F7" s="3">
        <v>-0.48809999227523798</v>
      </c>
      <c r="G7">
        <v>0.25619998574256903</v>
      </c>
      <c r="H7">
        <v>0.87269997596740723</v>
      </c>
      <c r="I7">
        <v>1410</v>
      </c>
    </row>
    <row r="8" spans="1:9">
      <c r="A8" s="5" t="s">
        <v>26</v>
      </c>
      <c r="B8">
        <v>-0.8312000036239624</v>
      </c>
      <c r="C8" s="3">
        <v>0.85490000247955322</v>
      </c>
      <c r="D8" s="3">
        <v>6637.6387999999997</v>
      </c>
      <c r="E8" s="10">
        <v>0.38379999995231628</v>
      </c>
      <c r="F8" s="3">
        <v>0.49900001287460333</v>
      </c>
      <c r="G8">
        <v>0.3546999990940094</v>
      </c>
      <c r="H8">
        <v>0.86250001192092896</v>
      </c>
      <c r="I8">
        <v>1409</v>
      </c>
    </row>
    <row r="9" spans="1:9">
      <c r="A9" s="5" t="s">
        <v>27</v>
      </c>
      <c r="B9">
        <v>1.610000059008598E-2</v>
      </c>
      <c r="C9" s="3">
        <v>1.092499971389771</v>
      </c>
      <c r="D9" s="3">
        <v>6878.4724999999999</v>
      </c>
      <c r="E9" s="10">
        <v>0.56180000305175781</v>
      </c>
      <c r="F9" s="3">
        <v>0.56859999895095825</v>
      </c>
      <c r="G9">
        <v>0.1750999987125397</v>
      </c>
      <c r="H9">
        <v>0.86349999904632568</v>
      </c>
      <c r="I9">
        <v>1420</v>
      </c>
    </row>
    <row r="10" spans="1:9">
      <c r="A10" s="5" t="s">
        <v>28</v>
      </c>
      <c r="B10">
        <v>-6.5600000321865082E-2</v>
      </c>
      <c r="C10" s="3">
        <v>1.324100017547607</v>
      </c>
      <c r="D10" s="3">
        <v>7047.4740000000002</v>
      </c>
      <c r="E10" s="10">
        <v>0.70759999752044678</v>
      </c>
      <c r="F10" s="3">
        <v>0.72109997272491455</v>
      </c>
      <c r="G10">
        <v>0.23530000448226929</v>
      </c>
      <c r="H10">
        <v>0.86489999294281006</v>
      </c>
      <c r="I10">
        <v>1405</v>
      </c>
    </row>
    <row r="11" spans="1:9">
      <c r="A11" t="s">
        <v>29</v>
      </c>
      <c r="B11">
        <v>-2.5703999996185298</v>
      </c>
      <c r="C11" s="3">
        <v>1.092399954795837</v>
      </c>
      <c r="D11" s="3">
        <v>7730.6835000000001</v>
      </c>
      <c r="E11" s="3">
        <v>-0.15289999544620511</v>
      </c>
      <c r="F11" s="3">
        <v>0.1553000062704086</v>
      </c>
      <c r="G11">
        <v>0.85350000858306885</v>
      </c>
      <c r="H11">
        <v>0.86419999599456787</v>
      </c>
      <c r="I11">
        <v>1406</v>
      </c>
    </row>
    <row r="14" spans="1:9">
      <c r="A14" t="s">
        <v>71</v>
      </c>
    </row>
    <row r="17" spans="2:2">
      <c r="B17" s="11">
        <f>2015/86400</f>
        <v>2.3321759259259261E-2</v>
      </c>
    </row>
    <row r="18" spans="2:2">
      <c r="B18" s="11">
        <f>6074/86400</f>
        <v>7.0300925925925919E-2</v>
      </c>
    </row>
    <row r="19" spans="2:2">
      <c r="B19" s="11">
        <f>7111/86400</f>
        <v>8.2303240740740746E-2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selection activeCell="E18" sqref="E18"/>
    </sheetView>
  </sheetViews>
  <sheetFormatPr defaultRowHeight="15.75"/>
  <cols>
    <col min="1" max="1" width="17.5703125" bestFit="1" customWidth="1"/>
    <col min="5" max="5" width="13.85546875" bestFit="1" customWidth="1"/>
    <col min="6" max="6" width="14.42578125" bestFit="1" customWidth="1"/>
  </cols>
  <sheetData>
    <row r="1" spans="1:9">
      <c r="A1" t="s">
        <v>30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31</v>
      </c>
      <c r="B2">
        <v>-1.060999989509583</v>
      </c>
      <c r="C2">
        <v>0.76099997758865356</v>
      </c>
      <c r="D2">
        <v>238.916</v>
      </c>
      <c r="E2" s="3">
        <v>-5.820000171661377E-2</v>
      </c>
      <c r="F2" s="3">
        <v>-1.549999974668026E-2</v>
      </c>
      <c r="G2">
        <v>0.35449999570846558</v>
      </c>
      <c r="H2">
        <v>0.8628000020980835</v>
      </c>
      <c r="I2">
        <v>1429</v>
      </c>
    </row>
    <row r="3" spans="1:9">
      <c r="A3" t="s">
        <v>32</v>
      </c>
      <c r="B3">
        <v>-1.402699947357178</v>
      </c>
      <c r="C3">
        <v>0.8156999945640564</v>
      </c>
      <c r="D3">
        <v>427.96710000000002</v>
      </c>
      <c r="E3" s="3">
        <v>6.8400003015995026E-2</v>
      </c>
      <c r="F3" s="3">
        <v>0.13969999551773071</v>
      </c>
      <c r="G3">
        <v>0.36480000615119929</v>
      </c>
      <c r="H3">
        <v>0.86309999227523804</v>
      </c>
      <c r="I3">
        <v>1397</v>
      </c>
    </row>
    <row r="4" spans="1:9">
      <c r="A4" t="s">
        <v>33</v>
      </c>
      <c r="B4">
        <v>-1.07669997215271</v>
      </c>
      <c r="C4">
        <v>0.53560000658035278</v>
      </c>
      <c r="D4">
        <v>1015.0943</v>
      </c>
      <c r="E4" s="3">
        <v>-0.21119999885559079</v>
      </c>
      <c r="F4" s="3">
        <v>-0.17910000681877139</v>
      </c>
      <c r="G4">
        <v>0.32800000905990601</v>
      </c>
      <c r="H4">
        <v>0.868399977684021</v>
      </c>
      <c r="I4">
        <v>1411</v>
      </c>
    </row>
    <row r="5" spans="1:9">
      <c r="A5" t="s">
        <v>34</v>
      </c>
      <c r="B5">
        <v>-1.1467000246047969</v>
      </c>
      <c r="C5">
        <v>0.9211999773979187</v>
      </c>
      <c r="D5">
        <v>1734.8257000000001</v>
      </c>
      <c r="E5" s="3">
        <v>-0.2012999951839447</v>
      </c>
      <c r="F5" s="3">
        <v>-0.15299999713897711</v>
      </c>
      <c r="G5">
        <v>0.42930001020431519</v>
      </c>
      <c r="H5">
        <v>0.86860001087188721</v>
      </c>
      <c r="I5">
        <v>1406</v>
      </c>
    </row>
    <row r="6" spans="1:9">
      <c r="A6" t="s">
        <v>35</v>
      </c>
      <c r="B6">
        <v>-0.4156000018119812</v>
      </c>
      <c r="C6">
        <v>1.518700003623962</v>
      </c>
      <c r="D6">
        <v>2930.3231999999998</v>
      </c>
      <c r="E6" s="3">
        <v>0.52410000562667847</v>
      </c>
      <c r="F6" s="3">
        <v>0.63470000028610229</v>
      </c>
      <c r="G6">
        <v>0.4846000075340271</v>
      </c>
      <c r="H6">
        <v>0.86119997501373291</v>
      </c>
      <c r="I6">
        <v>1408</v>
      </c>
    </row>
    <row r="7" spans="1:9">
      <c r="A7" t="s">
        <v>36</v>
      </c>
      <c r="B7">
        <v>-1.09469997882843</v>
      </c>
      <c r="C7">
        <v>0.94889998435974121</v>
      </c>
      <c r="D7">
        <v>4680.5262000000002</v>
      </c>
      <c r="E7" s="3">
        <v>-0.11819999665021901</v>
      </c>
      <c r="F7" s="3">
        <v>-0.1098999977111816</v>
      </c>
      <c r="G7">
        <v>0.32449999451637268</v>
      </c>
      <c r="H7">
        <v>0.87220001220703125</v>
      </c>
      <c r="I7">
        <v>1414</v>
      </c>
    </row>
    <row r="8" spans="1:9">
      <c r="A8" s="5" t="s">
        <v>37</v>
      </c>
      <c r="B8">
        <v>2.429999969899654E-2</v>
      </c>
      <c r="C8">
        <v>1.040599942207336</v>
      </c>
      <c r="D8">
        <v>6696.0775000000003</v>
      </c>
      <c r="E8" s="9">
        <v>0.696399986743927</v>
      </c>
      <c r="F8" s="3">
        <v>0.72439998388290405</v>
      </c>
      <c r="G8">
        <v>0.14380000531673429</v>
      </c>
      <c r="H8">
        <v>0.86089998483657837</v>
      </c>
      <c r="I8">
        <v>1406</v>
      </c>
    </row>
    <row r="9" spans="1:9">
      <c r="A9" s="5" t="s">
        <v>38</v>
      </c>
      <c r="B9">
        <v>0.13560000061988831</v>
      </c>
      <c r="C9">
        <v>1.400099992752075</v>
      </c>
      <c r="D9">
        <v>6904.2034000000003</v>
      </c>
      <c r="E9" s="9">
        <v>0.87760001420974731</v>
      </c>
      <c r="F9" s="3">
        <v>0.87699997425079346</v>
      </c>
      <c r="G9">
        <v>0.17820000648498541</v>
      </c>
      <c r="H9">
        <v>0.86390000581741333</v>
      </c>
      <c r="I9">
        <v>1416</v>
      </c>
    </row>
    <row r="10" spans="1:9">
      <c r="A10" s="5" t="s">
        <v>39</v>
      </c>
      <c r="B10">
        <v>0.23309999704360959</v>
      </c>
      <c r="C10">
        <v>1.442999958992004</v>
      </c>
      <c r="D10">
        <v>7068.4844000000003</v>
      </c>
      <c r="E10" s="9">
        <v>0.92280000448226929</v>
      </c>
      <c r="F10" s="3">
        <v>0.9341999888420105</v>
      </c>
      <c r="G10">
        <v>0.17200000584125519</v>
      </c>
      <c r="H10">
        <v>0.86549997329711914</v>
      </c>
      <c r="I10">
        <v>1408</v>
      </c>
    </row>
    <row r="11" spans="1:9">
      <c r="A11" t="s">
        <v>40</v>
      </c>
      <c r="B11">
        <v>-2.0739998817443852</v>
      </c>
      <c r="C11">
        <v>1.9731999635696409</v>
      </c>
      <c r="D11">
        <v>7878.7775000000001</v>
      </c>
      <c r="E11" s="9">
        <v>0.47519999742507929</v>
      </c>
      <c r="F11" s="3">
        <v>0.60860002040863037</v>
      </c>
      <c r="G11">
        <v>0.54170000553131104</v>
      </c>
      <c r="H11">
        <v>0.8628000020980835</v>
      </c>
      <c r="I11">
        <v>1407</v>
      </c>
    </row>
    <row r="14" spans="1:9">
      <c r="A14" s="4" t="s">
        <v>68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>
      <selection activeCell="A5" sqref="A5"/>
    </sheetView>
  </sheetViews>
  <sheetFormatPr defaultRowHeight="15.75"/>
  <cols>
    <col min="1" max="1" width="12.42578125" bestFit="1" customWidth="1"/>
    <col min="5" max="5" width="13.85546875" bestFit="1" customWidth="1"/>
    <col min="6" max="6" width="14.42578125" bestFit="1" customWidth="1"/>
  </cols>
  <sheetData>
    <row r="1" spans="1:9">
      <c r="A1" t="s">
        <v>41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42</v>
      </c>
      <c r="B2">
        <v>-1.7935999631881709</v>
      </c>
      <c r="C2">
        <v>0.50279998779296875</v>
      </c>
      <c r="D2">
        <v>4.8639000000000001</v>
      </c>
      <c r="E2" s="1">
        <v>-0.44789999723434448</v>
      </c>
      <c r="F2" s="1">
        <v>-0.40680000185966492</v>
      </c>
      <c r="G2">
        <v>0.26449999213218689</v>
      </c>
      <c r="H2">
        <v>0.86009997129440308</v>
      </c>
      <c r="I2">
        <v>3203</v>
      </c>
    </row>
    <row r="3" spans="1:9">
      <c r="A3" t="s">
        <v>43</v>
      </c>
      <c r="B3">
        <v>-4.8700001090764999E-2</v>
      </c>
      <c r="C3">
        <v>0.85500001907348633</v>
      </c>
      <c r="D3">
        <v>7</v>
      </c>
      <c r="E3" s="1">
        <v>0.36210000514984131</v>
      </c>
      <c r="F3" s="1">
        <v>0.35839998722076422</v>
      </c>
      <c r="G3">
        <v>0.14540000259876251</v>
      </c>
      <c r="H3">
        <v>0.86640000343322754</v>
      </c>
      <c r="I3">
        <v>10899</v>
      </c>
    </row>
    <row r="5" spans="1:9">
      <c r="A5" t="s">
        <v>66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workbookViewId="0">
      <selection activeCell="A15" sqref="A15"/>
    </sheetView>
  </sheetViews>
  <sheetFormatPr defaultRowHeight="15.75"/>
  <cols>
    <col min="1" max="1" width="31.5703125" bestFit="1" customWidth="1"/>
    <col min="5" max="5" width="13.85546875" bestFit="1" customWidth="1"/>
    <col min="6" max="6" width="14.42578125" bestFit="1" customWidth="1"/>
  </cols>
  <sheetData>
    <row r="1" spans="1:9">
      <c r="A1" t="s">
        <v>44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65</v>
      </c>
      <c r="B2">
        <v>-1.6375999450683589</v>
      </c>
      <c r="C2">
        <v>0.40389999747276312</v>
      </c>
      <c r="D2">
        <v>9.9900000000000003E-2</v>
      </c>
      <c r="E2" s="2">
        <v>-0.27169999480247498</v>
      </c>
      <c r="F2" s="2">
        <v>-0.2750999927520752</v>
      </c>
      <c r="G2">
        <v>0.335999995470047</v>
      </c>
      <c r="H2">
        <v>0.86430001258850098</v>
      </c>
      <c r="I2">
        <v>1411</v>
      </c>
    </row>
    <row r="3" spans="1:9">
      <c r="A3" s="5" t="s">
        <v>45</v>
      </c>
      <c r="B3">
        <v>-0.20419999957084661</v>
      </c>
      <c r="C3">
        <v>0.45600000023841858</v>
      </c>
      <c r="D3">
        <v>0.24460000000000001</v>
      </c>
      <c r="E3" s="2">
        <v>0.11659999936819079</v>
      </c>
      <c r="F3" s="2">
        <v>0.1096000000834465</v>
      </c>
      <c r="G3">
        <v>9.5799997448921204E-2</v>
      </c>
      <c r="H3">
        <v>0.86809998750686646</v>
      </c>
      <c r="I3">
        <v>1410</v>
      </c>
    </row>
    <row r="4" spans="1:9">
      <c r="A4" s="5" t="s">
        <v>46</v>
      </c>
      <c r="B4">
        <v>-5.5900000035762787E-2</v>
      </c>
      <c r="C4">
        <v>0.46309998631477362</v>
      </c>
      <c r="D4">
        <v>0.39150000000000001</v>
      </c>
      <c r="E4" s="2">
        <v>0.18060000240802759</v>
      </c>
      <c r="F4" s="2">
        <v>0.17739999294281009</v>
      </c>
      <c r="G4">
        <v>7.6899997889995575E-2</v>
      </c>
      <c r="H4">
        <v>0.86619997024536133</v>
      </c>
      <c r="I4">
        <v>1410</v>
      </c>
    </row>
    <row r="5" spans="1:9">
      <c r="A5" s="5" t="s">
        <v>47</v>
      </c>
      <c r="B5">
        <v>2.7400000020861629E-2</v>
      </c>
      <c r="C5">
        <v>0.45100000500679022</v>
      </c>
      <c r="D5">
        <v>0.56620000000000004</v>
      </c>
      <c r="E5" s="2">
        <v>0.21539999544620511</v>
      </c>
      <c r="F5" s="2">
        <v>0.21089999377727511</v>
      </c>
      <c r="G5">
        <v>6.8199999630451202E-2</v>
      </c>
      <c r="H5">
        <v>0.86659997701644897</v>
      </c>
      <c r="I5">
        <v>1410</v>
      </c>
    </row>
    <row r="6" spans="1:9">
      <c r="A6" s="5" t="s">
        <v>48</v>
      </c>
      <c r="B6">
        <v>9.5499999821186066E-2</v>
      </c>
      <c r="C6">
        <v>0.58279997110366821</v>
      </c>
      <c r="D6">
        <v>0.77869999999999995</v>
      </c>
      <c r="E6" s="2">
        <v>0.26669999957084661</v>
      </c>
      <c r="F6" s="2">
        <v>0.2531999945640564</v>
      </c>
      <c r="G6">
        <v>8.3800002932548523E-2</v>
      </c>
      <c r="H6">
        <v>0.86320000886917114</v>
      </c>
      <c r="I6">
        <v>1410</v>
      </c>
    </row>
    <row r="7" spans="1:9">
      <c r="A7" s="5" t="s">
        <v>49</v>
      </c>
      <c r="B7">
        <v>0.151199996471405</v>
      </c>
      <c r="C7">
        <v>0.67390000820159912</v>
      </c>
      <c r="D7">
        <v>0.93510000000000004</v>
      </c>
      <c r="E7" s="2">
        <v>0.37520000338554382</v>
      </c>
      <c r="F7" s="2">
        <v>0.36700001358985901</v>
      </c>
      <c r="G7">
        <v>8.5799999535083771E-2</v>
      </c>
      <c r="H7">
        <v>0.86379998922348022</v>
      </c>
      <c r="I7">
        <v>1410</v>
      </c>
    </row>
    <row r="8" spans="1:9">
      <c r="A8" s="5" t="s">
        <v>50</v>
      </c>
      <c r="B8">
        <v>-4.1000001132488251E-2</v>
      </c>
      <c r="C8">
        <v>0.72680002450942993</v>
      </c>
      <c r="D8">
        <v>0.99839999999999995</v>
      </c>
      <c r="E8" s="2">
        <v>0.3953000009059906</v>
      </c>
      <c r="F8" s="2">
        <v>0.3864000141620636</v>
      </c>
      <c r="G8">
        <v>9.3699999153614044E-2</v>
      </c>
      <c r="H8">
        <v>0.8619999885559082</v>
      </c>
      <c r="I8">
        <v>1410</v>
      </c>
    </row>
    <row r="9" spans="1:9">
      <c r="A9" s="5" t="s">
        <v>51</v>
      </c>
      <c r="B9">
        <v>7.0600003004074097E-2</v>
      </c>
      <c r="C9">
        <v>1.199200034141541</v>
      </c>
      <c r="D9">
        <v>3.8614999999999999</v>
      </c>
      <c r="E9" s="2">
        <v>0.36559998989105219</v>
      </c>
      <c r="F9" s="2">
        <v>0.34619998931884771</v>
      </c>
      <c r="G9">
        <v>0.1234999969601631</v>
      </c>
      <c r="H9">
        <v>0.86419999599456787</v>
      </c>
      <c r="I9">
        <v>1410</v>
      </c>
    </row>
    <row r="10" spans="1:9">
      <c r="A10" s="5" t="s">
        <v>52</v>
      </c>
      <c r="B10">
        <v>0.2296999990940094</v>
      </c>
      <c r="C10">
        <v>1.463899970054626</v>
      </c>
      <c r="D10">
        <v>29.052499999999998</v>
      </c>
      <c r="E10" s="2">
        <v>0.65119999647140503</v>
      </c>
      <c r="F10" s="2">
        <v>0.64829999208450317</v>
      </c>
      <c r="G10">
        <v>0.13230000436306</v>
      </c>
      <c r="H10">
        <v>0.86299997568130493</v>
      </c>
      <c r="I10">
        <v>1410</v>
      </c>
    </row>
    <row r="11" spans="1:9">
      <c r="A11" s="5" t="s">
        <v>53</v>
      </c>
      <c r="B11">
        <v>3.299999982118607E-3</v>
      </c>
      <c r="C11">
        <v>2.2822999954223628</v>
      </c>
      <c r="D11">
        <v>8215.6216000000004</v>
      </c>
      <c r="E11" s="2">
        <v>0.6689000129699707</v>
      </c>
      <c r="F11" s="2">
        <v>0.67809998989105225</v>
      </c>
      <c r="G11">
        <v>0.17319999635219571</v>
      </c>
      <c r="H11">
        <v>0.86799997091293335</v>
      </c>
      <c r="I11">
        <v>1411</v>
      </c>
    </row>
    <row r="14" spans="1:9">
      <c r="A14" s="6" t="s">
        <v>69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workbookViewId="0">
      <selection activeCell="A16" sqref="A16"/>
    </sheetView>
  </sheetViews>
  <sheetFormatPr defaultRowHeight="15.75"/>
  <cols>
    <col min="1" max="1" width="21.42578125" bestFit="1" customWidth="1"/>
    <col min="5" max="5" width="13.85546875" bestFit="1" customWidth="1"/>
    <col min="6" max="6" width="14.42578125" bestFit="1" customWidth="1"/>
  </cols>
  <sheetData>
    <row r="1" spans="1:9">
      <c r="A1" t="s">
        <v>54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7" t="s">
        <v>55</v>
      </c>
      <c r="B2" s="7">
        <v>-0.27900001406669622</v>
      </c>
      <c r="C2" s="7">
        <v>1.3417999744415281</v>
      </c>
      <c r="D2" s="7">
        <v>-2003.4536000000001</v>
      </c>
      <c r="E2" s="8">
        <v>0.52819997072219849</v>
      </c>
      <c r="F2" s="8">
        <v>0.52960002422332764</v>
      </c>
      <c r="G2">
        <v>0.17779999971389771</v>
      </c>
      <c r="H2">
        <v>0.85900002717971802</v>
      </c>
      <c r="I2">
        <v>1413</v>
      </c>
    </row>
    <row r="3" spans="1:9">
      <c r="A3" s="7" t="s">
        <v>56</v>
      </c>
      <c r="B3" s="7">
        <v>0.10999999940395359</v>
      </c>
      <c r="C3" s="7">
        <v>1.127799987792969</v>
      </c>
      <c r="D3" s="7">
        <v>545.20060000000001</v>
      </c>
      <c r="E3" s="8">
        <v>0.52859997749328613</v>
      </c>
      <c r="F3" s="8">
        <v>0.52539998292922974</v>
      </c>
      <c r="G3">
        <v>0.12870000302791601</v>
      </c>
      <c r="H3">
        <v>0.86220002174377441</v>
      </c>
      <c r="I3">
        <v>1416</v>
      </c>
    </row>
    <row r="4" spans="1:9">
      <c r="A4" s="7" t="s">
        <v>57</v>
      </c>
      <c r="B4" s="7">
        <v>0.18140000104904169</v>
      </c>
      <c r="C4" s="7">
        <v>0.97180002927780151</v>
      </c>
      <c r="D4" s="7">
        <v>1670.8356000000001</v>
      </c>
      <c r="E4" s="8">
        <v>0.52999997138977051</v>
      </c>
      <c r="F4" s="8">
        <v>0.52700001001358032</v>
      </c>
      <c r="G4">
        <v>0.1237000003457069</v>
      </c>
      <c r="H4">
        <v>0.86100000143051147</v>
      </c>
      <c r="I4">
        <v>1405</v>
      </c>
    </row>
    <row r="5" spans="1:9">
      <c r="A5" s="7" t="s">
        <v>58</v>
      </c>
      <c r="B5" s="7">
        <v>5.2499998360872269E-2</v>
      </c>
      <c r="C5" s="7">
        <v>0.97339999675750732</v>
      </c>
      <c r="D5" s="7">
        <v>3695.0526</v>
      </c>
      <c r="E5" s="8">
        <v>0.46869999170303339</v>
      </c>
      <c r="F5" s="8">
        <v>0.46939998865127558</v>
      </c>
      <c r="G5">
        <v>0.13670000433921811</v>
      </c>
      <c r="H5">
        <v>0.86339998245239258</v>
      </c>
      <c r="I5">
        <v>1407</v>
      </c>
    </row>
    <row r="6" spans="1:9">
      <c r="A6" s="7" t="s">
        <v>59</v>
      </c>
      <c r="B6" s="7">
        <v>-2.070000022649765E-2</v>
      </c>
      <c r="C6" s="7">
        <v>0.88220000267028809</v>
      </c>
      <c r="D6" s="7">
        <v>7806.1779999999999</v>
      </c>
      <c r="E6" s="8">
        <v>0.27430000901222229</v>
      </c>
      <c r="F6" s="8">
        <v>0.26269999146461492</v>
      </c>
      <c r="G6">
        <v>0.12099999934434889</v>
      </c>
      <c r="H6">
        <v>0.86260002851486206</v>
      </c>
      <c r="I6">
        <v>1410</v>
      </c>
    </row>
    <row r="7" spans="1:9">
      <c r="A7" s="7" t="s">
        <v>60</v>
      </c>
      <c r="B7" s="7">
        <v>-7.5400002300739288E-2</v>
      </c>
      <c r="C7" s="7">
        <v>0.74730002880096436</v>
      </c>
      <c r="D7" s="7">
        <v>15074.5872</v>
      </c>
      <c r="E7" s="8">
        <v>0.19869999587535861</v>
      </c>
      <c r="F7" s="8">
        <v>0.19580000638961789</v>
      </c>
      <c r="G7">
        <v>0.1053000018000603</v>
      </c>
      <c r="H7">
        <v>0.86220002174377441</v>
      </c>
      <c r="I7">
        <v>1410</v>
      </c>
    </row>
    <row r="8" spans="1:9">
      <c r="A8" s="7" t="s">
        <v>61</v>
      </c>
      <c r="B8" s="7">
        <v>-0.25479999184608459</v>
      </c>
      <c r="C8" s="7">
        <v>0.53450000286102295</v>
      </c>
      <c r="D8" s="7">
        <v>24995.600999999999</v>
      </c>
      <c r="E8" s="8">
        <v>0.13109999895095831</v>
      </c>
      <c r="F8" s="8">
        <v>0.13230000436306</v>
      </c>
      <c r="G8">
        <v>8.7200000882148743E-2</v>
      </c>
      <c r="H8">
        <v>0.86750000715255737</v>
      </c>
      <c r="I8">
        <v>1411</v>
      </c>
    </row>
    <row r="9" spans="1:9">
      <c r="A9" t="s">
        <v>62</v>
      </c>
      <c r="B9">
        <v>-0.32220000028610229</v>
      </c>
      <c r="C9">
        <v>0.49599999189376831</v>
      </c>
      <c r="D9">
        <v>37889.572</v>
      </c>
      <c r="E9" s="1">
        <v>3.1399998813867569E-2</v>
      </c>
      <c r="F9" s="1">
        <v>4.2899999767541892E-2</v>
      </c>
      <c r="G9">
        <v>0.122299998998642</v>
      </c>
      <c r="H9">
        <v>0.86760002374649048</v>
      </c>
      <c r="I9">
        <v>1409</v>
      </c>
    </row>
    <row r="10" spans="1:9">
      <c r="A10" t="s">
        <v>63</v>
      </c>
      <c r="B10">
        <v>-0.57410001754760742</v>
      </c>
      <c r="C10">
        <v>0.213699996471405</v>
      </c>
      <c r="D10">
        <v>61511.719100000002</v>
      </c>
      <c r="E10" s="1">
        <v>-0.1706999987363815</v>
      </c>
      <c r="F10" s="1">
        <v>-0.1730999946594238</v>
      </c>
      <c r="G10">
        <v>0.13220000267028811</v>
      </c>
      <c r="H10">
        <v>0.87239998579025269</v>
      </c>
      <c r="I10">
        <v>1410</v>
      </c>
    </row>
    <row r="11" spans="1:9">
      <c r="A11" t="s">
        <v>64</v>
      </c>
      <c r="B11">
        <v>-1.736799955368042</v>
      </c>
      <c r="C11">
        <v>0.29780000448226929</v>
      </c>
      <c r="D11">
        <v>189888.32670000001</v>
      </c>
      <c r="E11" s="1">
        <v>-0.47459998726844788</v>
      </c>
      <c r="F11" s="1">
        <v>-0.4244999885559082</v>
      </c>
      <c r="G11">
        <v>0.2720000147819519</v>
      </c>
      <c r="H11">
        <v>0.87139999866485596</v>
      </c>
      <c r="I11">
        <v>1411</v>
      </c>
    </row>
    <row r="15" spans="1:9">
      <c r="A15" t="s">
        <v>70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Flow 平均交易時間差</vt:lpstr>
      <vt:lpstr>約轉最後建檔日及交易日時間差</vt:lpstr>
      <vt:lpstr>開戶至交易日數</vt:lpstr>
      <vt:lpstr>交易通路</vt:lpstr>
      <vt:lpstr>單筆交易餘額占比</vt:lpstr>
      <vt:lpstr>帳戶餘額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陳逸恆</cp:lastModifiedBy>
  <dcterms:created xsi:type="dcterms:W3CDTF">2026-07-02T01:58:09Z</dcterms:created>
  <dcterms:modified xsi:type="dcterms:W3CDTF">2026-07-02T08:35:38Z</dcterms:modified>
</cp:coreProperties>
</file>